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kemick/Desktop/"/>
    </mc:Choice>
  </mc:AlternateContent>
  <xr:revisionPtr revIDLastSave="0" documentId="13_ncr:1_{4E22FA04-9A9C-E249-B27A-CD26317120DA}" xr6:coauthVersionLast="47" xr6:coauthVersionMax="47" xr10:uidLastSave="{00000000-0000-0000-0000-000000000000}"/>
  <bookViews>
    <workbookView xWindow="17300" yWindow="700" windowWidth="16900" windowHeight="19880" xr2:uid="{1CFB0976-FCBE-D84F-812E-EAE883AC83BC}"/>
  </bookViews>
  <sheets>
    <sheet name="Prod. Data" sheetId="1" r:id="rId1"/>
  </sheets>
  <definedNames>
    <definedName name="_xlnm._FilterDatabase" localSheetId="0" hidden="1">'Prod. Data'!$F$2:$F$24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D3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AB3" i="1"/>
  <c r="AA3" i="1"/>
  <c r="Z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L3" i="1"/>
  <c r="AK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3" i="1"/>
  <c r="AM2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3" i="1"/>
</calcChain>
</file>

<file path=xl/sharedStrings.xml><?xml version="1.0" encoding="utf-8"?>
<sst xmlns="http://schemas.openxmlformats.org/spreadsheetml/2006/main" count="103" uniqueCount="86">
  <si>
    <t>API_UWI</t>
  </si>
  <si>
    <t>WellName</t>
  </si>
  <si>
    <t>Latitude</t>
  </si>
  <si>
    <t>Longitude</t>
  </si>
  <si>
    <t>ENVInterval</t>
  </si>
  <si>
    <t>LateralLength_FT</t>
  </si>
  <si>
    <t>SpudDate</t>
  </si>
  <si>
    <t>CompletionDate</t>
  </si>
  <si>
    <t>FirstProdDate</t>
  </si>
  <si>
    <t>First3MonthGas_MCF</t>
  </si>
  <si>
    <t>First3MonthOil_BBL</t>
  </si>
  <si>
    <t>First3MonthWater_BBL</t>
  </si>
  <si>
    <t>First6MonthGas_MCF</t>
  </si>
  <si>
    <t>First6MonthOil_BBL</t>
  </si>
  <si>
    <t>First6MonthWater_BBL</t>
  </si>
  <si>
    <t>First9MonthGas_MCF</t>
  </si>
  <si>
    <t>First9MonthOil_BBL</t>
  </si>
  <si>
    <t>First9MonthWater_BBL</t>
  </si>
  <si>
    <t>First12MonthGas_MCF</t>
  </si>
  <si>
    <t>First12MonthOil_BBL</t>
  </si>
  <si>
    <t>First12MonthWater_BBL</t>
  </si>
  <si>
    <t>42-317-45630</t>
  </si>
  <si>
    <t>TEMPLE FORK 32-20 B 2WA</t>
  </si>
  <si>
    <t>WOLFCAMP A</t>
  </si>
  <si>
    <t>42-317-45629</t>
  </si>
  <si>
    <t>TEMPLE FORK 32-20 A 1MS</t>
  </si>
  <si>
    <t>JO MILL</t>
  </si>
  <si>
    <t>42-317-45634</t>
  </si>
  <si>
    <t>TEMPLE FORK 32-20 F 6WA</t>
  </si>
  <si>
    <t>42-317-45631</t>
  </si>
  <si>
    <t>TEMPLE FORK 32-20 C 3LS</t>
  </si>
  <si>
    <t>LOWER SPRABERRY</t>
  </si>
  <si>
    <t>42-317-45632</t>
  </si>
  <si>
    <t>TEMPLE FORK 32-20 D 4WB</t>
  </si>
  <si>
    <t>WOLFCAMP B UPPER</t>
  </si>
  <si>
    <t>42-317-45633</t>
  </si>
  <si>
    <t>TEMPLE FORK 32-20 E 5JM</t>
  </si>
  <si>
    <t>42-317-45658</t>
  </si>
  <si>
    <t>TEMPLE FORK 32-20 I 9JM</t>
  </si>
  <si>
    <t>42-317-45659</t>
  </si>
  <si>
    <t>TEMPLE FORK 32-20 J 10WA</t>
  </si>
  <si>
    <t>42-317-45661</t>
  </si>
  <si>
    <t>TEMPLE FORK 32-20 J 12WB</t>
  </si>
  <si>
    <t>42-317-45660</t>
  </si>
  <si>
    <t>TEMPLE FORK 32-20 J 11LS</t>
  </si>
  <si>
    <t>42-317-45756</t>
  </si>
  <si>
    <t>TEMPLE FORK 32-20 U 21JM</t>
  </si>
  <si>
    <t>42-317-45748</t>
  </si>
  <si>
    <t>TEMPLE FORK 32-20 M 13MS</t>
  </si>
  <si>
    <t>42-317-45757</t>
  </si>
  <si>
    <t>TEMPLE FORK 32-20 V 22WA</t>
  </si>
  <si>
    <t>42-317-45751</t>
  </si>
  <si>
    <t>TEMPLE FORK 32-20 M 16WB</t>
  </si>
  <si>
    <t>42-317-45758</t>
  </si>
  <si>
    <t>TEMPLE FORK 32-20 W 23LS</t>
  </si>
  <si>
    <t>42-317-45749</t>
  </si>
  <si>
    <t>TEMPLE FORK 32-20 M 14WA</t>
  </si>
  <si>
    <t>42-317-45755</t>
  </si>
  <si>
    <t>TEMPLE FORK 32-20 Q 20WB</t>
  </si>
  <si>
    <t>42-317-45754</t>
  </si>
  <si>
    <t>TEMPLE FORK 32-20 Q 19LS</t>
  </si>
  <si>
    <t>42-317-45750</t>
  </si>
  <si>
    <t>TEMPLE FORK 32-20 M 15LS</t>
  </si>
  <si>
    <t>42-317-45753</t>
  </si>
  <si>
    <t>TEMPLE FORK 32-20 Q 18WA</t>
  </si>
  <si>
    <t>42-317-45752</t>
  </si>
  <si>
    <t>TEMPLE FORK 32-20 Q 17JM</t>
  </si>
  <si>
    <t>CumGas_MCF</t>
  </si>
  <si>
    <t>CumOil_BBL</t>
  </si>
  <si>
    <t>CumWater_BBL</t>
  </si>
  <si>
    <t>Norm. Cum Gas (Mcf)</t>
  </si>
  <si>
    <t>Norm. Cum. Oil (bbl)</t>
  </si>
  <si>
    <t>Norm. Cum. Gas 3mo (Mcf)</t>
  </si>
  <si>
    <t>Norm. Cum. Oil 3mo (bbl)</t>
  </si>
  <si>
    <t>Norm. Cum Oil 6mo (bbl)</t>
  </si>
  <si>
    <t>Norm. Cum. Gas 6mo (Mcf)</t>
  </si>
  <si>
    <t>Norm. Cum. Oil 9mo (bbl)</t>
  </si>
  <si>
    <t>Norm. Cum Gas 9mo (Mcf)</t>
  </si>
  <si>
    <t>Norm. Cum Oil 12mo (bbl)</t>
  </si>
  <si>
    <t>Norm. Cum. Gas 12mo (Mcf)</t>
  </si>
  <si>
    <t>Cum. As of 9/01/25</t>
  </si>
  <si>
    <t>Norm. Cum. Water 3mo (bbl)</t>
  </si>
  <si>
    <t>Norm. Cum. Water 6mo (bbl)</t>
  </si>
  <si>
    <t>Norm. Cum. Water 9mo (bbl)</t>
  </si>
  <si>
    <t>Norm. Cum. Water 12mo (bbl)</t>
  </si>
  <si>
    <t>Norm. Cum. Water (bbl)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</si>
</sst>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8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483E-A7E3-B241-93DA-C7F3B3A37816}">
  <sheetPr filterMode="1"/>
  <dimension ref="B2:AN24"/>
  <sheetViews>
    <sheetView tabSelected="1" topLeftCell="T1" workbookViewId="0">
      <selection activeCell="I2" sqref="I2"/>
    </sheetView>
  </sheetViews>
  <sheetFormatPr baseColWidth="10" defaultRowHeight="16" x14ac:dyDescent="0.2"/>
  <cols>
    <col min="2" max="2" width="12.5" bestFit="1" customWidth="1"/>
    <col min="3" max="3" width="25.5" bestFit="1" customWidth="1"/>
    <col min="4" max="4" width="10.1640625" bestFit="1" customWidth="1"/>
    <col min="6" max="6" width="18.33203125" bestFit="1" customWidth="1"/>
    <col min="7" max="7" width="15.5" bestFit="1" customWidth="1"/>
    <col min="9" max="9" width="14.33203125" bestFit="1" customWidth="1"/>
    <col min="10" max="10" width="12.5" bestFit="1" customWidth="1"/>
    <col min="11" max="11" width="18.83203125" bestFit="1" customWidth="1"/>
    <col min="12" max="12" width="17.6640625" bestFit="1" customWidth="1"/>
    <col min="13" max="13" width="20.1640625" bestFit="1" customWidth="1"/>
    <col min="14" max="14" width="18.83203125" bestFit="1" customWidth="1"/>
    <col min="15" max="15" width="17.6640625" bestFit="1" customWidth="1"/>
    <col min="16" max="16" width="20.1640625" bestFit="1" customWidth="1"/>
    <col min="17" max="17" width="18.83203125" bestFit="1" customWidth="1"/>
    <col min="18" max="18" width="17.6640625" bestFit="1" customWidth="1"/>
    <col min="19" max="19" width="20.1640625" bestFit="1" customWidth="1"/>
    <col min="20" max="20" width="19.83203125" bestFit="1" customWidth="1"/>
    <col min="21" max="21" width="18.6640625" bestFit="1" customWidth="1"/>
    <col min="22" max="22" width="21.1640625" bestFit="1" customWidth="1"/>
    <col min="23" max="23" width="16.33203125" bestFit="1" customWidth="1"/>
    <col min="24" max="24" width="11.33203125" bestFit="1" customWidth="1"/>
    <col min="25" max="25" width="13.83203125" bestFit="1" customWidth="1"/>
    <col min="26" max="28" width="24.33203125" bestFit="1" customWidth="1"/>
    <col min="29" max="29" width="25.33203125" bestFit="1" customWidth="1"/>
    <col min="30" max="30" width="21.1640625" bestFit="1" customWidth="1"/>
    <col min="31" max="31" width="23.1640625" bestFit="1" customWidth="1"/>
    <col min="32" max="32" width="21.83203125" bestFit="1" customWidth="1"/>
    <col min="33" max="33" width="22.6640625" bestFit="1" customWidth="1"/>
    <col min="34" max="34" width="22.33203125" bestFit="1" customWidth="1"/>
    <col min="35" max="35" width="24.1640625" bestFit="1" customWidth="1"/>
    <col min="36" max="37" width="18.5" bestFit="1" customWidth="1"/>
  </cols>
  <sheetData>
    <row r="2" spans="2:40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67</v>
      </c>
      <c r="X2" s="1" t="s">
        <v>68</v>
      </c>
      <c r="Y2" s="1" t="s">
        <v>69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73</v>
      </c>
      <c r="AF2" s="1" t="s">
        <v>72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1" t="s">
        <v>79</v>
      </c>
      <c r="AM2" s="1" t="s">
        <v>71</v>
      </c>
      <c r="AN2" s="1" t="s">
        <v>70</v>
      </c>
    </row>
    <row r="3" spans="2:40" x14ac:dyDescent="0.2">
      <c r="B3" s="1" t="s">
        <v>39</v>
      </c>
      <c r="C3" s="2" t="s">
        <v>40</v>
      </c>
      <c r="D3" s="2">
        <v>32.184353000000002</v>
      </c>
      <c r="E3" s="2">
        <v>-101.867965</v>
      </c>
      <c r="F3" s="2" t="s">
        <v>23</v>
      </c>
      <c r="G3" s="2">
        <v>12845</v>
      </c>
      <c r="H3" s="3">
        <v>45282</v>
      </c>
      <c r="I3" s="3">
        <v>45502</v>
      </c>
      <c r="J3" s="3">
        <v>45474</v>
      </c>
      <c r="K3" s="4">
        <v>122496</v>
      </c>
      <c r="L3" s="4">
        <v>85630</v>
      </c>
      <c r="M3" s="4">
        <v>182190</v>
      </c>
      <c r="N3" s="4">
        <v>418129</v>
      </c>
      <c r="O3" s="4">
        <v>165712</v>
      </c>
      <c r="P3" s="4">
        <v>340675</v>
      </c>
      <c r="Q3" s="4">
        <v>614693</v>
      </c>
      <c r="R3" s="4">
        <v>207644</v>
      </c>
      <c r="S3" s="4">
        <v>441066</v>
      </c>
      <c r="T3" s="4">
        <v>777242</v>
      </c>
      <c r="U3" s="4">
        <v>228697</v>
      </c>
      <c r="V3" s="4">
        <v>500562</v>
      </c>
      <c r="W3" s="4">
        <v>920677</v>
      </c>
      <c r="X3" s="4">
        <v>242624</v>
      </c>
      <c r="Y3" s="4">
        <v>547562</v>
      </c>
      <c r="Z3" s="5">
        <f>M3*(10000/G3)</f>
        <v>141837.29077462049</v>
      </c>
      <c r="AA3" s="5">
        <f>P3*(10000/G3)</f>
        <v>265219.92993382638</v>
      </c>
      <c r="AB3" s="5">
        <f>S3*(10000/G3)</f>
        <v>343375.63254184509</v>
      </c>
      <c r="AC3" s="5">
        <f>V3*(10000/G3)</f>
        <v>389694.04437524331</v>
      </c>
      <c r="AD3" s="5">
        <f>Y3*(10000/G3)</f>
        <v>426284.15725963411</v>
      </c>
      <c r="AE3" s="5">
        <f>L3*(10000/G3)</f>
        <v>66664.071623199692</v>
      </c>
      <c r="AF3" s="5">
        <f>K3*(10000/G3)</f>
        <v>95364.733359283768</v>
      </c>
      <c r="AG3" s="5">
        <f>O3*(10000/G3)</f>
        <v>129008.95289996108</v>
      </c>
      <c r="AH3" s="5">
        <f>N3*(10000/G3)</f>
        <v>325518.87894122227</v>
      </c>
      <c r="AI3" s="5">
        <f>R3*(10000/G3)</f>
        <v>161653.56169715844</v>
      </c>
      <c r="AJ3" s="5">
        <f>Q3*(10000/G3)</f>
        <v>478546.51615414559</v>
      </c>
      <c r="AK3" s="5">
        <f>U3*(10000/G3)</f>
        <v>178043.59673024525</v>
      </c>
      <c r="AL3" s="6">
        <f>T3*(10000/G3)</f>
        <v>605093.03230829118</v>
      </c>
      <c r="AM3" s="5">
        <f>X3 * (10000/G3)</f>
        <v>188885.94783962631</v>
      </c>
      <c r="AN3" s="5">
        <f>W3*(10000/G3)</f>
        <v>716759.05021409108</v>
      </c>
    </row>
    <row r="4" spans="2:40" hidden="1" x14ac:dyDescent="0.2">
      <c r="B4" s="1" t="s">
        <v>65</v>
      </c>
      <c r="C4" s="2" t="s">
        <v>66</v>
      </c>
      <c r="D4" s="2">
        <v>32.185558999999998</v>
      </c>
      <c r="E4" s="2">
        <v>-101.86292</v>
      </c>
      <c r="F4" s="2" t="s">
        <v>26</v>
      </c>
      <c r="G4" s="2">
        <v>12838</v>
      </c>
      <c r="H4" s="3">
        <v>45288</v>
      </c>
      <c r="I4" s="3">
        <v>45509</v>
      </c>
      <c r="J4" s="3">
        <v>45505</v>
      </c>
      <c r="K4" s="4">
        <v>192722</v>
      </c>
      <c r="L4" s="4">
        <v>104421</v>
      </c>
      <c r="M4" s="4">
        <v>194764</v>
      </c>
      <c r="N4" s="4">
        <v>276047</v>
      </c>
      <c r="O4" s="4">
        <v>126779</v>
      </c>
      <c r="P4" s="4">
        <v>230185</v>
      </c>
      <c r="Q4" s="4">
        <v>499971</v>
      </c>
      <c r="R4" s="4">
        <v>195391</v>
      </c>
      <c r="S4" s="4">
        <v>339243</v>
      </c>
      <c r="T4" s="4">
        <v>751488</v>
      </c>
      <c r="U4" s="4">
        <v>242994</v>
      </c>
      <c r="V4" s="4">
        <v>415119</v>
      </c>
      <c r="W4" s="4">
        <v>891993</v>
      </c>
      <c r="X4" s="4">
        <v>263466</v>
      </c>
      <c r="Y4" s="4">
        <v>447836</v>
      </c>
      <c r="Z4" s="5">
        <f t="shared" ref="Z4:Z23" si="0">M4*(10000/G4)</f>
        <v>151708.98893908708</v>
      </c>
      <c r="AA4" s="5">
        <f t="shared" ref="AA4:AA23" si="1">P4*(10000/G4)</f>
        <v>179299.73516124007</v>
      </c>
      <c r="AB4" s="5">
        <f t="shared" ref="AB4:AB23" si="2">S4*(10000/G4)</f>
        <v>264249.10422184144</v>
      </c>
      <c r="AC4" s="5">
        <f t="shared" ref="AC4:AC23" si="3">V4*(10000/G4)</f>
        <v>323351.76818819129</v>
      </c>
      <c r="AD4" s="5">
        <f t="shared" ref="AD4:AD23" si="4">Y4*(10000/G4)</f>
        <v>348836.26733136002</v>
      </c>
      <c r="AE4" s="5">
        <f>L4*(10000/G4)</f>
        <v>81337.435737653839</v>
      </c>
      <c r="AF4" s="5">
        <f>K4*(10000/G4)</f>
        <v>150118.39850443995</v>
      </c>
      <c r="AG4" s="5">
        <f>O4*(10000/G4)</f>
        <v>98752.921015734537</v>
      </c>
      <c r="AH4" s="5">
        <f>N4*(10000/G4)</f>
        <v>215023.3681258763</v>
      </c>
      <c r="AI4" s="5">
        <f>R4*(10000/G4)</f>
        <v>152197.38276990186</v>
      </c>
      <c r="AJ4" s="5">
        <f>Q4*(10000/G4)</f>
        <v>389446.17541673157</v>
      </c>
      <c r="AK4" s="5">
        <f>U4*(10000/G4)</f>
        <v>189277.14597289296</v>
      </c>
      <c r="AL4" s="6">
        <f>T4*(10000/G4)</f>
        <v>585362.20595108275</v>
      </c>
      <c r="AM4" s="5">
        <f>X4 * (10000/G4)</f>
        <v>205223.5550708833</v>
      </c>
      <c r="AN4" s="5">
        <f>W4*(10000/G4)</f>
        <v>694806.82349275588</v>
      </c>
    </row>
    <row r="5" spans="2:40" hidden="1" x14ac:dyDescent="0.2">
      <c r="B5" s="1" t="s">
        <v>47</v>
      </c>
      <c r="C5" s="2" t="s">
        <v>48</v>
      </c>
      <c r="D5" s="2">
        <v>32.185464000000003</v>
      </c>
      <c r="E5" s="2">
        <v>-101.863309</v>
      </c>
      <c r="F5" s="2" t="s">
        <v>26</v>
      </c>
      <c r="G5" s="2">
        <v>12799</v>
      </c>
      <c r="H5" s="3">
        <v>45299</v>
      </c>
      <c r="I5" s="3">
        <v>45507</v>
      </c>
      <c r="J5" s="3">
        <v>45505</v>
      </c>
      <c r="K5" s="4">
        <v>161085</v>
      </c>
      <c r="L5" s="4">
        <v>111011</v>
      </c>
      <c r="M5" s="4">
        <v>238540</v>
      </c>
      <c r="N5" s="4">
        <v>299053</v>
      </c>
      <c r="O5" s="4">
        <v>165027</v>
      </c>
      <c r="P5" s="4">
        <v>339977</v>
      </c>
      <c r="Q5" s="4">
        <v>503983</v>
      </c>
      <c r="R5" s="4">
        <v>258044</v>
      </c>
      <c r="S5" s="4">
        <v>515434</v>
      </c>
      <c r="T5" s="4">
        <v>703537</v>
      </c>
      <c r="U5" s="4">
        <v>319760</v>
      </c>
      <c r="V5" s="4">
        <v>632282</v>
      </c>
      <c r="W5" s="4">
        <v>821100</v>
      </c>
      <c r="X5" s="4">
        <v>351475</v>
      </c>
      <c r="Y5" s="4">
        <v>692538</v>
      </c>
      <c r="Z5" s="5">
        <f t="shared" si="0"/>
        <v>186373.9354637081</v>
      </c>
      <c r="AA5" s="5">
        <f t="shared" si="1"/>
        <v>265627.78342057974</v>
      </c>
      <c r="AB5" s="5">
        <f t="shared" si="2"/>
        <v>402714.27455269947</v>
      </c>
      <c r="AC5" s="5">
        <f t="shared" si="3"/>
        <v>494008.90694585518</v>
      </c>
      <c r="AD5" s="5">
        <f t="shared" si="4"/>
        <v>541087.58496757562</v>
      </c>
      <c r="AE5" s="5">
        <f>L5*(10000/G5)</f>
        <v>86734.119853113531</v>
      </c>
      <c r="AF5" s="5">
        <f>K5*(10000/G5)</f>
        <v>125857.48886631768</v>
      </c>
      <c r="AG5" s="5">
        <f>O5*(10000/G5)</f>
        <v>128937.41698570202</v>
      </c>
      <c r="AH5" s="5">
        <f>N5*(10000/G5)</f>
        <v>233653.41042268928</v>
      </c>
      <c r="AI5" s="5">
        <f>R5*(10000/G5)</f>
        <v>201612.62598640521</v>
      </c>
      <c r="AJ5" s="5">
        <f>Q5*(10000/G5)</f>
        <v>393767.48183451832</v>
      </c>
      <c r="AK5" s="5">
        <f>U5*(10000/G5)</f>
        <v>249832.01812641614</v>
      </c>
      <c r="AL5" s="6">
        <f>T5*(10000/G5)</f>
        <v>549681.2250957106</v>
      </c>
      <c r="AM5" s="5">
        <f>X5 * (10000/G5)</f>
        <v>274611.29775763734</v>
      </c>
      <c r="AN5" s="5">
        <f>W5*(10000/G5)</f>
        <v>641534.49488241272</v>
      </c>
    </row>
    <row r="6" spans="2:40" x14ac:dyDescent="0.2">
      <c r="B6" s="1" t="s">
        <v>51</v>
      </c>
      <c r="C6" s="2" t="s">
        <v>52</v>
      </c>
      <c r="D6" s="2">
        <v>32.185519999999997</v>
      </c>
      <c r="E6" s="2">
        <v>-101.86307600000001</v>
      </c>
      <c r="F6" s="2" t="s">
        <v>34</v>
      </c>
      <c r="G6" s="2">
        <v>12755</v>
      </c>
      <c r="H6" s="3">
        <v>45293</v>
      </c>
      <c r="I6" s="3">
        <v>45496</v>
      </c>
      <c r="J6" s="3">
        <v>45474</v>
      </c>
      <c r="K6" s="4">
        <v>153356</v>
      </c>
      <c r="L6" s="4">
        <v>95136</v>
      </c>
      <c r="M6" s="4">
        <v>133661</v>
      </c>
      <c r="N6" s="4">
        <v>286795</v>
      </c>
      <c r="O6" s="4">
        <v>141770</v>
      </c>
      <c r="P6" s="4">
        <v>199330</v>
      </c>
      <c r="Q6" s="4">
        <v>383770</v>
      </c>
      <c r="R6" s="4">
        <v>177016</v>
      </c>
      <c r="S6" s="4">
        <v>249175</v>
      </c>
      <c r="T6" s="4">
        <v>507481</v>
      </c>
      <c r="U6" s="4">
        <v>214655</v>
      </c>
      <c r="V6" s="4">
        <v>302558</v>
      </c>
      <c r="W6" s="4">
        <v>617663</v>
      </c>
      <c r="X6" s="4">
        <v>237975</v>
      </c>
      <c r="Y6" s="4">
        <v>335753</v>
      </c>
      <c r="Z6" s="5">
        <f t="shared" si="0"/>
        <v>104791.06232849862</v>
      </c>
      <c r="AA6" s="5">
        <f t="shared" si="1"/>
        <v>156275.97020776165</v>
      </c>
      <c r="AB6" s="5">
        <f t="shared" si="2"/>
        <v>195354.7628381027</v>
      </c>
      <c r="AC6" s="5">
        <f t="shared" si="3"/>
        <v>237207.36965895726</v>
      </c>
      <c r="AD6" s="5">
        <f t="shared" si="4"/>
        <v>263232.45785966289</v>
      </c>
      <c r="AE6" s="5">
        <f>L6*(10000/G6)</f>
        <v>74587.220697765573</v>
      </c>
      <c r="AF6" s="5">
        <f>K6*(10000/G6)</f>
        <v>120232.06585652685</v>
      </c>
      <c r="AG6" s="5">
        <f>O6*(10000/G6)</f>
        <v>111148.56918855351</v>
      </c>
      <c r="AH6" s="5">
        <f>N6*(10000/G6)</f>
        <v>224849.07879263035</v>
      </c>
      <c r="AI6" s="5">
        <f>R6*(10000/G6)</f>
        <v>138781.65425323401</v>
      </c>
      <c r="AJ6" s="5">
        <f>Q6*(10000/G6)</f>
        <v>300878.08702469617</v>
      </c>
      <c r="AK6" s="5">
        <f>U6*(10000/G6)</f>
        <v>168290.86632693061</v>
      </c>
      <c r="AL6" s="6">
        <f>T6*(10000/G6)</f>
        <v>397868.28694629553</v>
      </c>
      <c r="AM6" s="5">
        <f>X6 * (10000/G6)</f>
        <v>186573.89259114073</v>
      </c>
      <c r="AN6" s="5">
        <f>W6*(10000/G6)</f>
        <v>484251.66601332807</v>
      </c>
    </row>
    <row r="7" spans="2:40" x14ac:dyDescent="0.2">
      <c r="B7" s="1" t="s">
        <v>32</v>
      </c>
      <c r="C7" s="2" t="s">
        <v>33</v>
      </c>
      <c r="D7" s="2">
        <v>32.183788999999997</v>
      </c>
      <c r="E7" s="2">
        <v>-101.870329</v>
      </c>
      <c r="F7" s="2" t="s">
        <v>34</v>
      </c>
      <c r="G7" s="2">
        <v>13134</v>
      </c>
      <c r="H7" s="3">
        <v>45273</v>
      </c>
      <c r="I7" s="3">
        <v>45484</v>
      </c>
      <c r="J7" s="3">
        <v>45474</v>
      </c>
      <c r="K7" s="4">
        <v>127818</v>
      </c>
      <c r="L7" s="4">
        <v>92767</v>
      </c>
      <c r="M7" s="4">
        <v>174559</v>
      </c>
      <c r="N7" s="4">
        <v>313638</v>
      </c>
      <c r="O7" s="4">
        <v>144434</v>
      </c>
      <c r="P7" s="4">
        <v>272706</v>
      </c>
      <c r="Q7" s="4">
        <v>423972</v>
      </c>
      <c r="R7" s="4">
        <v>172446</v>
      </c>
      <c r="S7" s="4">
        <v>326020</v>
      </c>
      <c r="T7" s="4">
        <v>517334</v>
      </c>
      <c r="U7" s="4">
        <v>184103</v>
      </c>
      <c r="V7" s="4">
        <v>348247</v>
      </c>
      <c r="W7" s="4">
        <v>604219</v>
      </c>
      <c r="X7" s="4">
        <v>202258</v>
      </c>
      <c r="Y7" s="4">
        <v>382933</v>
      </c>
      <c r="Z7" s="5">
        <f t="shared" si="0"/>
        <v>132906.19765494138</v>
      </c>
      <c r="AA7" s="5">
        <f t="shared" si="1"/>
        <v>207633.6226587483</v>
      </c>
      <c r="AB7" s="5">
        <f t="shared" si="2"/>
        <v>248225.97837673215</v>
      </c>
      <c r="AC7" s="5">
        <f t="shared" si="3"/>
        <v>265149.23100350238</v>
      </c>
      <c r="AD7" s="5">
        <f t="shared" si="4"/>
        <v>291558.55032739457</v>
      </c>
      <c r="AE7" s="5">
        <f>L7*(10000/G7)</f>
        <v>70631.186234201319</v>
      </c>
      <c r="AF7" s="5">
        <f>K7*(10000/G7)</f>
        <v>97318.410232983108</v>
      </c>
      <c r="AG7" s="5">
        <f>O7*(10000/G7)</f>
        <v>109969.5446931628</v>
      </c>
      <c r="AH7" s="5">
        <f>N7*(10000/G7)</f>
        <v>238798.53814527183</v>
      </c>
      <c r="AI7" s="5">
        <f>R7*(10000/G7)</f>
        <v>131297.39607126542</v>
      </c>
      <c r="AJ7" s="5">
        <f>Q7*(10000/G7)</f>
        <v>322804.93375970767</v>
      </c>
      <c r="AK7" s="5">
        <f>U7*(10000/G7)</f>
        <v>140172.83386630123</v>
      </c>
      <c r="AL7" s="6">
        <f>T7*(10000/G7)</f>
        <v>393889.14268311259</v>
      </c>
      <c r="AM7" s="5">
        <f>X7 * (10000/G7)</f>
        <v>153995.73625704279</v>
      </c>
      <c r="AN7" s="5">
        <f>W7*(10000/G7)</f>
        <v>460041.87604690122</v>
      </c>
    </row>
    <row r="8" spans="2:40" x14ac:dyDescent="0.2">
      <c r="B8" s="1" t="s">
        <v>41</v>
      </c>
      <c r="C8" s="2" t="s">
        <v>42</v>
      </c>
      <c r="D8" s="2">
        <v>32.184334</v>
      </c>
      <c r="E8" s="2">
        <v>-101.868043</v>
      </c>
      <c r="F8" s="2" t="s">
        <v>34</v>
      </c>
      <c r="G8" s="2">
        <v>12637</v>
      </c>
      <c r="H8" s="3">
        <v>45284</v>
      </c>
      <c r="I8" s="3">
        <v>45495</v>
      </c>
      <c r="J8" s="3">
        <v>45474</v>
      </c>
      <c r="K8" s="4">
        <v>160248</v>
      </c>
      <c r="L8" s="4">
        <v>141509</v>
      </c>
      <c r="M8" s="4">
        <v>159439</v>
      </c>
      <c r="N8" s="4">
        <v>319635</v>
      </c>
      <c r="O8" s="4">
        <v>241142</v>
      </c>
      <c r="P8" s="4">
        <v>272165</v>
      </c>
      <c r="Q8" s="4">
        <v>424882</v>
      </c>
      <c r="R8" s="4">
        <v>303870</v>
      </c>
      <c r="S8" s="4">
        <v>343554</v>
      </c>
      <c r="T8" s="4">
        <v>511393</v>
      </c>
      <c r="U8" s="4">
        <v>340848</v>
      </c>
      <c r="V8" s="4">
        <v>385853</v>
      </c>
      <c r="W8" s="4">
        <v>587226</v>
      </c>
      <c r="X8" s="4">
        <v>369894</v>
      </c>
      <c r="Y8" s="4">
        <v>419261</v>
      </c>
      <c r="Z8" s="5">
        <f t="shared" si="0"/>
        <v>126168.39439740445</v>
      </c>
      <c r="AA8" s="5">
        <f t="shared" si="1"/>
        <v>215371.52805254413</v>
      </c>
      <c r="AB8" s="5">
        <f t="shared" si="2"/>
        <v>271863.57521563664</v>
      </c>
      <c r="AC8" s="5">
        <f t="shared" si="3"/>
        <v>305335.9183350479</v>
      </c>
      <c r="AD8" s="5">
        <f t="shared" si="4"/>
        <v>331772.57260425738</v>
      </c>
      <c r="AE8" s="5">
        <f>L8*(10000/G8)</f>
        <v>111979.90029279102</v>
      </c>
      <c r="AF8" s="5">
        <f>K8*(10000/G8)</f>
        <v>126808.57798528133</v>
      </c>
      <c r="AG8" s="5">
        <f>O8*(10000/G8)</f>
        <v>190822.18881063545</v>
      </c>
      <c r="AH8" s="5">
        <f>N8*(10000/G8)</f>
        <v>252935.82337580124</v>
      </c>
      <c r="AI8" s="5">
        <f>R8*(10000/G8)</f>
        <v>240460.55234628473</v>
      </c>
      <c r="AJ8" s="5">
        <f>Q8*(10000/G8)</f>
        <v>336220.62198306562</v>
      </c>
      <c r="AK8" s="5">
        <f>U8*(10000/G8)</f>
        <v>269722.24420352932</v>
      </c>
      <c r="AL8" s="6">
        <f>T8*(10000/G8)</f>
        <v>404679.11687900615</v>
      </c>
      <c r="AM8" s="5">
        <f>X8 * (10000/G8)</f>
        <v>292707.12985676981</v>
      </c>
      <c r="AN8" s="5">
        <f>W8*(10000/G8)</f>
        <v>464687.82147661631</v>
      </c>
    </row>
    <row r="9" spans="2:40" x14ac:dyDescent="0.2">
      <c r="B9" s="1" t="s">
        <v>21</v>
      </c>
      <c r="C9" s="2" t="s">
        <v>22</v>
      </c>
      <c r="D9" s="2">
        <v>32.183770000000003</v>
      </c>
      <c r="E9" s="2">
        <v>-101.870406</v>
      </c>
      <c r="F9" s="2" t="s">
        <v>23</v>
      </c>
      <c r="G9" s="2">
        <v>13170</v>
      </c>
      <c r="H9" s="3">
        <v>45273</v>
      </c>
      <c r="I9" s="3">
        <v>45502</v>
      </c>
      <c r="J9" s="3">
        <v>45474</v>
      </c>
      <c r="K9" s="4">
        <v>79325</v>
      </c>
      <c r="L9" s="4">
        <v>69981</v>
      </c>
      <c r="M9" s="4">
        <v>70614</v>
      </c>
      <c r="N9" s="4">
        <v>266938</v>
      </c>
      <c r="O9" s="4">
        <v>157056</v>
      </c>
      <c r="P9" s="4">
        <v>169943</v>
      </c>
      <c r="Q9" s="4">
        <v>396515</v>
      </c>
      <c r="R9" s="4">
        <v>202148</v>
      </c>
      <c r="S9" s="4">
        <v>222593</v>
      </c>
      <c r="T9" s="4">
        <v>504336</v>
      </c>
      <c r="U9" s="4">
        <v>228224</v>
      </c>
      <c r="V9" s="4">
        <v>253793</v>
      </c>
      <c r="W9" s="4">
        <v>582726</v>
      </c>
      <c r="X9" s="4">
        <v>250549</v>
      </c>
      <c r="Y9" s="4">
        <v>281125</v>
      </c>
      <c r="Z9" s="5">
        <f t="shared" si="0"/>
        <v>53617.312072892943</v>
      </c>
      <c r="AA9" s="5">
        <f t="shared" si="1"/>
        <v>129037.96507213365</v>
      </c>
      <c r="AB9" s="5">
        <f t="shared" si="2"/>
        <v>169015.18602885347</v>
      </c>
      <c r="AC9" s="5">
        <f t="shared" si="3"/>
        <v>192705.391040243</v>
      </c>
      <c r="AD9" s="5">
        <f t="shared" si="4"/>
        <v>213458.61807137434</v>
      </c>
      <c r="AE9" s="5">
        <f>L9*(10000/G9)</f>
        <v>53136.674259681095</v>
      </c>
      <c r="AF9" s="5">
        <f>K9*(10000/G9)</f>
        <v>60231.586940015193</v>
      </c>
      <c r="AG9" s="5">
        <f>O9*(10000/G9)</f>
        <v>119252.84738041004</v>
      </c>
      <c r="AH9" s="5">
        <f>N9*(10000/G9)</f>
        <v>202686.40850417619</v>
      </c>
      <c r="AI9" s="5">
        <f>R9*(10000/G9)</f>
        <v>153491.26803340929</v>
      </c>
      <c r="AJ9" s="5">
        <f>Q9*(10000/G9)</f>
        <v>301074.41154138197</v>
      </c>
      <c r="AK9" s="5">
        <f>U9*(10000/G9)</f>
        <v>173290.81245254367</v>
      </c>
      <c r="AL9" s="6">
        <f>T9*(10000/G9)</f>
        <v>382943.05239179957</v>
      </c>
      <c r="AM9" s="5">
        <f>X9 * (10000/G9)</f>
        <v>190242.21716021263</v>
      </c>
      <c r="AN9" s="5">
        <f>W9*(10000/G9)</f>
        <v>442464.69248291577</v>
      </c>
    </row>
    <row r="10" spans="2:40" x14ac:dyDescent="0.2">
      <c r="B10" s="1" t="s">
        <v>27</v>
      </c>
      <c r="C10" s="2" t="s">
        <v>28</v>
      </c>
      <c r="D10" s="2">
        <v>32.183826000000003</v>
      </c>
      <c r="E10" s="2">
        <v>-101.87017299999999</v>
      </c>
      <c r="F10" s="2" t="s">
        <v>23</v>
      </c>
      <c r="G10" s="2">
        <v>13194</v>
      </c>
      <c r="H10" s="3">
        <v>45270</v>
      </c>
      <c r="I10" s="3">
        <v>45499</v>
      </c>
      <c r="J10" s="3">
        <v>45474</v>
      </c>
      <c r="K10" s="4">
        <v>106032</v>
      </c>
      <c r="L10" s="4">
        <v>102467</v>
      </c>
      <c r="M10" s="4">
        <v>157758</v>
      </c>
      <c r="N10" s="4">
        <v>281161</v>
      </c>
      <c r="O10" s="4">
        <v>175560</v>
      </c>
      <c r="P10" s="4">
        <v>271165</v>
      </c>
      <c r="Q10" s="4">
        <v>399325</v>
      </c>
      <c r="R10" s="4">
        <v>208893</v>
      </c>
      <c r="S10" s="4">
        <v>323029</v>
      </c>
      <c r="T10" s="4">
        <v>492764</v>
      </c>
      <c r="U10" s="4">
        <v>227028</v>
      </c>
      <c r="V10" s="4">
        <v>351330</v>
      </c>
      <c r="W10" s="4">
        <v>558742</v>
      </c>
      <c r="X10" s="4">
        <v>241601</v>
      </c>
      <c r="Y10" s="4">
        <v>374131</v>
      </c>
      <c r="Z10" s="5">
        <f t="shared" si="0"/>
        <v>119567.98544793087</v>
      </c>
      <c r="AA10" s="5">
        <f t="shared" si="1"/>
        <v>205521.4491435501</v>
      </c>
      <c r="AB10" s="5">
        <f t="shared" si="2"/>
        <v>244830.2258602395</v>
      </c>
      <c r="AC10" s="5">
        <f t="shared" si="3"/>
        <v>266280.12733060482</v>
      </c>
      <c r="AD10" s="5">
        <f t="shared" si="4"/>
        <v>283561.46733363648</v>
      </c>
      <c r="AE10" s="5">
        <f>L10*(10000/G10)</f>
        <v>77661.815976959217</v>
      </c>
      <c r="AF10" s="5">
        <f>K10*(10000/G10)</f>
        <v>80363.801728058213</v>
      </c>
      <c r="AG10" s="5">
        <f>O10*(10000/G10)</f>
        <v>133060.48203728968</v>
      </c>
      <c r="AH10" s="5">
        <f>N10*(10000/G10)</f>
        <v>213097.62013036228</v>
      </c>
      <c r="AI10" s="5">
        <f>R10*(10000/G10)</f>
        <v>158324.23829013188</v>
      </c>
      <c r="AJ10" s="5">
        <f>Q10*(10000/G10)</f>
        <v>302656.51053509169</v>
      </c>
      <c r="AK10" s="5">
        <f>U10*(10000/G10)</f>
        <v>172069.12232833105</v>
      </c>
      <c r="AL10" s="6">
        <f>T10*(10000/G10)</f>
        <v>373475.82234348945</v>
      </c>
      <c r="AM10" s="5">
        <f>X10 * (10000/G10)</f>
        <v>183114.29437623161</v>
      </c>
      <c r="AN10" s="5">
        <f>W10*(10000/G10)</f>
        <v>423481.88570562378</v>
      </c>
    </row>
    <row r="11" spans="2:40" x14ac:dyDescent="0.2">
      <c r="B11" s="1" t="s">
        <v>49</v>
      </c>
      <c r="C11" s="2" t="s">
        <v>50</v>
      </c>
      <c r="D11" s="2">
        <v>32.186048</v>
      </c>
      <c r="E11" s="2">
        <v>-101.860868</v>
      </c>
      <c r="F11" s="2" t="s">
        <v>23</v>
      </c>
      <c r="G11" s="2">
        <v>13066</v>
      </c>
      <c r="H11" s="3">
        <v>45306</v>
      </c>
      <c r="I11" s="3">
        <v>45503</v>
      </c>
      <c r="J11" s="3">
        <v>45474</v>
      </c>
      <c r="K11" s="4">
        <v>119355</v>
      </c>
      <c r="L11" s="4">
        <v>108697</v>
      </c>
      <c r="M11" s="4">
        <v>230026</v>
      </c>
      <c r="N11" s="4">
        <v>214649</v>
      </c>
      <c r="O11" s="4">
        <v>169051</v>
      </c>
      <c r="P11" s="4">
        <v>351570</v>
      </c>
      <c r="Q11" s="4">
        <v>286851</v>
      </c>
      <c r="R11" s="4">
        <v>220457</v>
      </c>
      <c r="S11" s="4">
        <v>448515</v>
      </c>
      <c r="T11" s="4">
        <v>422022</v>
      </c>
      <c r="U11" s="4">
        <v>268413</v>
      </c>
      <c r="V11" s="4">
        <v>535309</v>
      </c>
      <c r="W11" s="4">
        <v>540219</v>
      </c>
      <c r="X11" s="4">
        <v>291871</v>
      </c>
      <c r="Y11" s="4">
        <v>575659</v>
      </c>
      <c r="Z11" s="5">
        <f t="shared" si="0"/>
        <v>176049.28822899127</v>
      </c>
      <c r="AA11" s="5">
        <f t="shared" si="1"/>
        <v>269072.40165314556</v>
      </c>
      <c r="AB11" s="5">
        <f t="shared" si="2"/>
        <v>343268.78922394</v>
      </c>
      <c r="AC11" s="5">
        <f t="shared" si="3"/>
        <v>409696.15796724323</v>
      </c>
      <c r="AD11" s="5">
        <f t="shared" si="4"/>
        <v>440577.83560385735</v>
      </c>
      <c r="AE11" s="5">
        <f>L11*(10000/G11)</f>
        <v>83190.724016531458</v>
      </c>
      <c r="AF11" s="5">
        <f>K11*(10000/G11)</f>
        <v>91347.772845553351</v>
      </c>
      <c r="AG11" s="5">
        <f>O11*(10000/G11)</f>
        <v>129382.36644726772</v>
      </c>
      <c r="AH11" s="5">
        <f>N11*(10000/G11)</f>
        <v>164280.57553956835</v>
      </c>
      <c r="AI11" s="5">
        <f>R11*(10000/G11)</f>
        <v>168725.70029083116</v>
      </c>
      <c r="AJ11" s="5">
        <f>Q11*(10000/G11)</f>
        <v>219540.02755242615</v>
      </c>
      <c r="AK11" s="5">
        <f>U11*(10000/G11)</f>
        <v>205428.59329557631</v>
      </c>
      <c r="AL11" s="6">
        <f>T11*(10000/G11)</f>
        <v>322992.49961732741</v>
      </c>
      <c r="AM11" s="5">
        <f>X11 * (10000/G11)</f>
        <v>223382.06030919944</v>
      </c>
      <c r="AN11" s="5">
        <f>W11*(10000/G11)</f>
        <v>413454.00275524263</v>
      </c>
    </row>
    <row r="12" spans="2:40" hidden="1" x14ac:dyDescent="0.2">
      <c r="B12" s="1" t="s">
        <v>37</v>
      </c>
      <c r="C12" s="2" t="s">
        <v>38</v>
      </c>
      <c r="D12" s="2">
        <v>32.184261999999997</v>
      </c>
      <c r="E12" s="2">
        <v>-101.868354</v>
      </c>
      <c r="F12" s="2" t="s">
        <v>26</v>
      </c>
      <c r="G12" s="2">
        <v>12530</v>
      </c>
      <c r="H12" s="3">
        <v>45291</v>
      </c>
      <c r="I12" s="3">
        <v>45502</v>
      </c>
      <c r="J12" s="3">
        <v>45474</v>
      </c>
      <c r="K12" s="4">
        <v>43135</v>
      </c>
      <c r="L12" s="4">
        <v>48235</v>
      </c>
      <c r="M12" s="4">
        <v>104252</v>
      </c>
      <c r="N12" s="4">
        <v>126136</v>
      </c>
      <c r="O12" s="4">
        <v>135595</v>
      </c>
      <c r="P12" s="4">
        <v>339593</v>
      </c>
      <c r="Q12" s="4">
        <v>201558</v>
      </c>
      <c r="R12" s="4">
        <v>197575</v>
      </c>
      <c r="S12" s="4">
        <v>480945</v>
      </c>
      <c r="T12" s="4">
        <v>353898</v>
      </c>
      <c r="U12" s="4">
        <v>272559</v>
      </c>
      <c r="V12" s="4">
        <v>632956</v>
      </c>
      <c r="W12" s="4">
        <v>459992</v>
      </c>
      <c r="X12" s="4">
        <v>315347</v>
      </c>
      <c r="Y12" s="4">
        <v>708832</v>
      </c>
      <c r="Z12" s="5">
        <f t="shared" si="0"/>
        <v>83201.915403032719</v>
      </c>
      <c r="AA12" s="5">
        <f t="shared" si="1"/>
        <v>271023.94253790902</v>
      </c>
      <c r="AB12" s="5">
        <f t="shared" si="2"/>
        <v>383834.79648842779</v>
      </c>
      <c r="AC12" s="5">
        <f t="shared" si="3"/>
        <v>505152.43415802071</v>
      </c>
      <c r="AD12" s="5">
        <f t="shared" si="4"/>
        <v>565707.90103751002</v>
      </c>
      <c r="AE12" s="5">
        <f>L12*(10000/G12)</f>
        <v>38495.610534716681</v>
      </c>
      <c r="AF12" s="5">
        <f>K12*(10000/G12)</f>
        <v>34425.37909018356</v>
      </c>
      <c r="AG12" s="5">
        <f>O12*(10000/G12)</f>
        <v>108216.28092577813</v>
      </c>
      <c r="AH12" s="5">
        <f>N12*(10000/G12)</f>
        <v>100667.19872306465</v>
      </c>
      <c r="AI12" s="5">
        <f>R12*(10000/G12)</f>
        <v>157681.56424581006</v>
      </c>
      <c r="AJ12" s="5">
        <f>Q12*(10000/G12)</f>
        <v>160860.33519553073</v>
      </c>
      <c r="AK12" s="5">
        <f>U12*(10000/G12)</f>
        <v>217525.13966480448</v>
      </c>
      <c r="AL12" s="6">
        <f>T12*(10000/G12)</f>
        <v>282440.54269752593</v>
      </c>
      <c r="AM12" s="5">
        <f>X12 * (10000/G12)</f>
        <v>251673.58339984037</v>
      </c>
      <c r="AN12" s="5">
        <f>W12*(10000/G12)</f>
        <v>367112.52992817236</v>
      </c>
    </row>
    <row r="13" spans="2:40" hidden="1" x14ac:dyDescent="0.2">
      <c r="B13" s="1" t="s">
        <v>35</v>
      </c>
      <c r="C13" s="2" t="s">
        <v>36</v>
      </c>
      <c r="D13" s="2">
        <v>32.183844999999998</v>
      </c>
      <c r="E13" s="2">
        <v>-101.87009500000001</v>
      </c>
      <c r="F13" s="2" t="s">
        <v>26</v>
      </c>
      <c r="G13" s="2">
        <v>12985</v>
      </c>
      <c r="H13" s="3">
        <v>45269</v>
      </c>
      <c r="I13" s="3">
        <v>45505</v>
      </c>
      <c r="J13" s="3">
        <v>45505</v>
      </c>
      <c r="K13" s="4">
        <v>38652</v>
      </c>
      <c r="L13" s="4">
        <v>40672</v>
      </c>
      <c r="M13" s="4">
        <v>106809</v>
      </c>
      <c r="N13" s="4">
        <v>72891</v>
      </c>
      <c r="O13" s="4">
        <v>73609</v>
      </c>
      <c r="P13" s="4">
        <v>213863</v>
      </c>
      <c r="Q13" s="4">
        <v>185978</v>
      </c>
      <c r="R13" s="4">
        <v>144938</v>
      </c>
      <c r="S13" s="4">
        <v>308846</v>
      </c>
      <c r="T13" s="4">
        <v>326866</v>
      </c>
      <c r="U13" s="4">
        <v>203759</v>
      </c>
      <c r="V13" s="4">
        <v>367900</v>
      </c>
      <c r="W13" s="4">
        <v>396127</v>
      </c>
      <c r="X13" s="4">
        <v>231644</v>
      </c>
      <c r="Y13" s="4">
        <v>391807</v>
      </c>
      <c r="Z13" s="5">
        <f t="shared" si="0"/>
        <v>82255.679630342696</v>
      </c>
      <c r="AA13" s="5">
        <f t="shared" si="1"/>
        <v>164700.03850596843</v>
      </c>
      <c r="AB13" s="5">
        <f t="shared" si="2"/>
        <v>237848.28648440508</v>
      </c>
      <c r="AC13" s="5">
        <f t="shared" si="3"/>
        <v>283326.91567192913</v>
      </c>
      <c r="AD13" s="5">
        <f t="shared" si="4"/>
        <v>301738.15941470925</v>
      </c>
      <c r="AE13" s="5">
        <f>L13*(10000/G13)</f>
        <v>31322.294955718135</v>
      </c>
      <c r="AF13" s="5">
        <f>K13*(10000/G13)</f>
        <v>29766.653831343858</v>
      </c>
      <c r="AG13" s="5">
        <f>O13*(10000/G13)</f>
        <v>56687.716596072387</v>
      </c>
      <c r="AH13" s="5">
        <f>N13*(10000/G13)</f>
        <v>56134.770889487867</v>
      </c>
      <c r="AI13" s="5">
        <f>R13*(10000/G13)</f>
        <v>111619.56103195995</v>
      </c>
      <c r="AJ13" s="5">
        <f>Q13*(10000/G13)</f>
        <v>143225.25991528688</v>
      </c>
      <c r="AK13" s="5">
        <f>U13*(10000/G13)</f>
        <v>156918.75240662301</v>
      </c>
      <c r="AL13" s="6">
        <f>T13*(10000/G13)</f>
        <v>251725.83750481324</v>
      </c>
      <c r="AM13" s="5">
        <f>X13 * (10000/G13)</f>
        <v>178393.53099730457</v>
      </c>
      <c r="AN13" s="5">
        <f>W13*(10000/G13)</f>
        <v>305065.07508663845</v>
      </c>
    </row>
    <row r="14" spans="2:40" x14ac:dyDescent="0.2">
      <c r="B14" s="1" t="s">
        <v>63</v>
      </c>
      <c r="C14" s="2" t="s">
        <v>64</v>
      </c>
      <c r="D14" s="2">
        <v>32.185538999999999</v>
      </c>
      <c r="E14" s="2">
        <v>-101.862998</v>
      </c>
      <c r="F14" s="2" t="s">
        <v>23</v>
      </c>
      <c r="G14" s="2">
        <v>12739</v>
      </c>
      <c r="H14" s="3">
        <v>45289</v>
      </c>
      <c r="I14" s="3">
        <v>45502</v>
      </c>
      <c r="J14" s="3">
        <v>45474</v>
      </c>
      <c r="K14" s="4">
        <v>85855</v>
      </c>
      <c r="L14" s="4">
        <v>83369</v>
      </c>
      <c r="M14" s="4">
        <v>164057</v>
      </c>
      <c r="N14" s="4">
        <v>150210</v>
      </c>
      <c r="O14" s="4">
        <v>131642</v>
      </c>
      <c r="P14" s="4">
        <v>259245</v>
      </c>
      <c r="Q14" s="4">
        <v>200849</v>
      </c>
      <c r="R14" s="4">
        <v>175147</v>
      </c>
      <c r="S14" s="4">
        <v>345416</v>
      </c>
      <c r="T14" s="4">
        <v>297978</v>
      </c>
      <c r="U14" s="4">
        <v>223307</v>
      </c>
      <c r="V14" s="4">
        <v>441070</v>
      </c>
      <c r="W14" s="4">
        <v>378309</v>
      </c>
      <c r="X14" s="4">
        <v>251073</v>
      </c>
      <c r="Y14" s="4">
        <v>496405</v>
      </c>
      <c r="Z14" s="5">
        <f t="shared" si="0"/>
        <v>128783.26399246408</v>
      </c>
      <c r="AA14" s="5">
        <f t="shared" si="1"/>
        <v>203504.98469267602</v>
      </c>
      <c r="AB14" s="5">
        <f t="shared" si="2"/>
        <v>271148.44179291936</v>
      </c>
      <c r="AC14" s="5">
        <f t="shared" si="3"/>
        <v>346235.96828636469</v>
      </c>
      <c r="AD14" s="5">
        <f t="shared" si="4"/>
        <v>389673.44375539682</v>
      </c>
      <c r="AE14" s="5">
        <f>L14*(10000/G14)</f>
        <v>65443.91239500745</v>
      </c>
      <c r="AF14" s="5">
        <f>K14*(10000/G14)</f>
        <v>67395.399952900538</v>
      </c>
      <c r="AG14" s="5">
        <f>O14*(10000/G14)</f>
        <v>103337.78161551141</v>
      </c>
      <c r="AH14" s="5">
        <f>N14*(10000/G14)</f>
        <v>117913.49399481906</v>
      </c>
      <c r="AI14" s="5">
        <f>R14*(10000/G14)</f>
        <v>137488.81387864039</v>
      </c>
      <c r="AJ14" s="5">
        <f>Q14*(10000/G14)</f>
        <v>157664.65185650365</v>
      </c>
      <c r="AK14" s="5">
        <f>U14*(10000/G14)</f>
        <v>175293.97911924013</v>
      </c>
      <c r="AL14" s="6">
        <f>T14*(10000/G14)</f>
        <v>233910.04003453959</v>
      </c>
      <c r="AM14" s="5">
        <f>X14 * (10000/G14)</f>
        <v>197090.03846455764</v>
      </c>
      <c r="AN14" s="5">
        <f>W14*(10000/G14)</f>
        <v>296969.14985477662</v>
      </c>
    </row>
    <row r="15" spans="2:40" hidden="1" x14ac:dyDescent="0.2">
      <c r="B15" s="1" t="s">
        <v>53</v>
      </c>
      <c r="C15" s="2" t="s">
        <v>54</v>
      </c>
      <c r="D15" s="2">
        <v>32.186067000000001</v>
      </c>
      <c r="E15" s="2">
        <v>-101.86078999999999</v>
      </c>
      <c r="F15" s="2" t="s">
        <v>31</v>
      </c>
      <c r="G15" s="2">
        <v>13061</v>
      </c>
      <c r="H15" s="3">
        <v>45304</v>
      </c>
      <c r="I15" s="3">
        <v>45509</v>
      </c>
      <c r="J15" s="3">
        <v>45505</v>
      </c>
      <c r="K15" s="4">
        <v>84878</v>
      </c>
      <c r="L15" s="4">
        <v>86486</v>
      </c>
      <c r="M15" s="4">
        <v>170770</v>
      </c>
      <c r="N15" s="4">
        <v>103560</v>
      </c>
      <c r="O15" s="4">
        <v>109782</v>
      </c>
      <c r="P15" s="4">
        <v>220555</v>
      </c>
      <c r="Q15" s="4">
        <v>199681</v>
      </c>
      <c r="R15" s="4">
        <v>193904</v>
      </c>
      <c r="S15" s="4">
        <v>335908</v>
      </c>
      <c r="T15" s="4">
        <v>293280</v>
      </c>
      <c r="U15" s="4">
        <v>248237</v>
      </c>
      <c r="V15" s="4">
        <v>391864</v>
      </c>
      <c r="W15" s="4">
        <v>367919</v>
      </c>
      <c r="X15" s="4">
        <v>271272</v>
      </c>
      <c r="Y15" s="4">
        <v>418684</v>
      </c>
      <c r="Z15" s="5">
        <f t="shared" si="0"/>
        <v>130748.02848173953</v>
      </c>
      <c r="AA15" s="5">
        <f t="shared" si="1"/>
        <v>168865.32424776049</v>
      </c>
      <c r="AB15" s="5">
        <f t="shared" si="2"/>
        <v>257183.98284970524</v>
      </c>
      <c r="AC15" s="5">
        <f t="shared" si="3"/>
        <v>300026.03169741982</v>
      </c>
      <c r="AD15" s="5">
        <f t="shared" si="4"/>
        <v>320560.44713268511</v>
      </c>
      <c r="AE15" s="5">
        <f>L15*(10000/G15)</f>
        <v>66216.981854375626</v>
      </c>
      <c r="AF15" s="5">
        <f>K15*(10000/G15)</f>
        <v>64985.835694050991</v>
      </c>
      <c r="AG15" s="5">
        <f>O15*(10000/G15)</f>
        <v>84053.28841589464</v>
      </c>
      <c r="AH15" s="5">
        <f>N15*(10000/G15)</f>
        <v>79289.487788071361</v>
      </c>
      <c r="AI15" s="5">
        <f>R15*(10000/G15)</f>
        <v>148460.30166143482</v>
      </c>
      <c r="AJ15" s="5">
        <f>Q15*(10000/G15)</f>
        <v>152883.39330832247</v>
      </c>
      <c r="AK15" s="5">
        <f>U15*(10000/G15)</f>
        <v>190059.71977643366</v>
      </c>
      <c r="AL15" s="6">
        <f>T15*(10000/G15)</f>
        <v>224546.35939055201</v>
      </c>
      <c r="AM15" s="5">
        <f>X15 * (10000/G15)</f>
        <v>207696.19477834774</v>
      </c>
      <c r="AN15" s="5">
        <f>W15*(10000/G15)</f>
        <v>281692.82597044634</v>
      </c>
    </row>
    <row r="16" spans="2:40" hidden="1" x14ac:dyDescent="0.2">
      <c r="B16" s="1" t="s">
        <v>24</v>
      </c>
      <c r="C16" s="2" t="s">
        <v>25</v>
      </c>
      <c r="D16" s="2">
        <v>32.183734000000001</v>
      </c>
      <c r="E16" s="2">
        <v>-101.87056200000001</v>
      </c>
      <c r="F16" s="2" t="s">
        <v>26</v>
      </c>
      <c r="G16" s="2">
        <v>13124</v>
      </c>
      <c r="H16" s="3">
        <v>45276</v>
      </c>
      <c r="I16" s="3">
        <v>45513</v>
      </c>
      <c r="J16" s="3">
        <v>45505</v>
      </c>
      <c r="K16" s="4">
        <v>40001</v>
      </c>
      <c r="L16" s="4">
        <v>50044</v>
      </c>
      <c r="M16" s="4">
        <v>153040</v>
      </c>
      <c r="N16" s="4">
        <v>144305</v>
      </c>
      <c r="O16" s="4">
        <v>119858</v>
      </c>
      <c r="P16" s="4">
        <v>381653</v>
      </c>
      <c r="Q16" s="4">
        <v>243671</v>
      </c>
      <c r="R16" s="4">
        <v>162717</v>
      </c>
      <c r="S16" s="4">
        <v>531188</v>
      </c>
      <c r="T16" s="4">
        <v>309271</v>
      </c>
      <c r="U16" s="4">
        <v>187008</v>
      </c>
      <c r="V16" s="4">
        <v>621668</v>
      </c>
      <c r="W16" s="4">
        <v>360953</v>
      </c>
      <c r="X16" s="4">
        <v>202021</v>
      </c>
      <c r="Y16" s="4">
        <v>680749</v>
      </c>
      <c r="Z16" s="5">
        <f t="shared" si="0"/>
        <v>116610.78939347759</v>
      </c>
      <c r="AA16" s="5">
        <f t="shared" si="1"/>
        <v>290805.3946967388</v>
      </c>
      <c r="AB16" s="5">
        <f t="shared" si="2"/>
        <v>404745.50441938435</v>
      </c>
      <c r="AC16" s="5">
        <f t="shared" si="3"/>
        <v>473687.90003047854</v>
      </c>
      <c r="AD16" s="5">
        <f t="shared" si="4"/>
        <v>518705.42517525144</v>
      </c>
      <c r="AE16" s="5">
        <f>L16*(10000/G16)</f>
        <v>38131.66717464188</v>
      </c>
      <c r="AF16" s="5">
        <f>K16*(10000/G16)</f>
        <v>30479.274611398963</v>
      </c>
      <c r="AG16" s="5">
        <f>O16*(10000/G16)</f>
        <v>91327.339225845775</v>
      </c>
      <c r="AH16" s="5">
        <f>N16*(10000/G16)</f>
        <v>109955.04419384334</v>
      </c>
      <c r="AI16" s="5">
        <f>R16*(10000/G16)</f>
        <v>123984.30356598597</v>
      </c>
      <c r="AJ16" s="5">
        <f>Q16*(10000/G16)</f>
        <v>185668.24138982018</v>
      </c>
      <c r="AK16" s="5">
        <f>U16*(10000/G16)</f>
        <v>142493.14233465408</v>
      </c>
      <c r="AL16" s="6">
        <f>T16*(10000/G16)</f>
        <v>235653.0021334959</v>
      </c>
      <c r="AM16" s="5">
        <f>X16 * (10000/G16)</f>
        <v>153932.49009448339</v>
      </c>
      <c r="AN16" s="5">
        <f>W16*(10000/G16)</f>
        <v>275032.76440109726</v>
      </c>
    </row>
    <row r="17" spans="2:40" hidden="1" x14ac:dyDescent="0.2">
      <c r="B17" s="1" t="s">
        <v>59</v>
      </c>
      <c r="C17" s="2" t="s">
        <v>60</v>
      </c>
      <c r="D17" s="2">
        <v>32.185972999999997</v>
      </c>
      <c r="E17" s="2">
        <v>-101.86117900000001</v>
      </c>
      <c r="F17" s="2" t="s">
        <v>31</v>
      </c>
      <c r="G17" s="2">
        <v>12857</v>
      </c>
      <c r="H17" s="3">
        <v>45318</v>
      </c>
      <c r="I17" s="3">
        <v>45509</v>
      </c>
      <c r="J17" s="3">
        <v>45505</v>
      </c>
      <c r="K17" s="4">
        <v>109772</v>
      </c>
      <c r="L17" s="4">
        <v>91624</v>
      </c>
      <c r="M17" s="4">
        <v>163096</v>
      </c>
      <c r="N17" s="4">
        <v>139156</v>
      </c>
      <c r="O17" s="4">
        <v>109198</v>
      </c>
      <c r="P17" s="4">
        <v>194139</v>
      </c>
      <c r="Q17" s="4">
        <v>218125</v>
      </c>
      <c r="R17" s="4">
        <v>170183</v>
      </c>
      <c r="S17" s="4">
        <v>300606</v>
      </c>
      <c r="T17" s="4">
        <v>306829</v>
      </c>
      <c r="U17" s="4">
        <v>217077</v>
      </c>
      <c r="V17" s="4">
        <v>381671</v>
      </c>
      <c r="W17" s="4">
        <v>356384</v>
      </c>
      <c r="X17" s="4">
        <v>239290</v>
      </c>
      <c r="Y17" s="4">
        <v>419717</v>
      </c>
      <c r="Z17" s="5">
        <f t="shared" si="0"/>
        <v>126853.85393171036</v>
      </c>
      <c r="AA17" s="5">
        <f t="shared" si="1"/>
        <v>150998.67776308625</v>
      </c>
      <c r="AB17" s="5">
        <f t="shared" si="2"/>
        <v>233807.26452516139</v>
      </c>
      <c r="AC17" s="5">
        <f t="shared" si="3"/>
        <v>296858.52065022947</v>
      </c>
      <c r="AD17" s="5">
        <f t="shared" si="4"/>
        <v>326450.18277980865</v>
      </c>
      <c r="AE17" s="5">
        <f>L17*(10000/G17)</f>
        <v>71263.902932254801</v>
      </c>
      <c r="AF17" s="5">
        <f>K17*(10000/G17)</f>
        <v>85379.170879676443</v>
      </c>
      <c r="AG17" s="5">
        <f>O17*(10000/G17)</f>
        <v>84932.721474683058</v>
      </c>
      <c r="AH17" s="5">
        <f>N17*(10000/G17)</f>
        <v>108233.64704052267</v>
      </c>
      <c r="AI17" s="5">
        <f>R17*(10000/G17)</f>
        <v>132366.026289181</v>
      </c>
      <c r="AJ17" s="5">
        <f>Q17*(10000/G17)</f>
        <v>169654.662829587</v>
      </c>
      <c r="AK17" s="5">
        <f>U17*(10000/G17)</f>
        <v>168839.54266158515</v>
      </c>
      <c r="AL17" s="6">
        <f>T17*(10000/G17)</f>
        <v>238647.42941588242</v>
      </c>
      <c r="AM17" s="5">
        <f>X17 * (10000/G17)</f>
        <v>186116.51240569341</v>
      </c>
      <c r="AN17" s="5">
        <f>W17*(10000/G17)</f>
        <v>277190.63545150502</v>
      </c>
    </row>
    <row r="18" spans="2:40" hidden="1" x14ac:dyDescent="0.2">
      <c r="B18" s="1" t="s">
        <v>45</v>
      </c>
      <c r="C18" s="2" t="s">
        <v>46</v>
      </c>
      <c r="D18" s="2">
        <v>32.186084000000001</v>
      </c>
      <c r="E18" s="2">
        <v>-101.86071200000001</v>
      </c>
      <c r="F18" s="2" t="s">
        <v>26</v>
      </c>
      <c r="G18" s="2">
        <v>12827</v>
      </c>
      <c r="H18" s="3">
        <v>45302</v>
      </c>
      <c r="I18" s="3">
        <v>45516</v>
      </c>
      <c r="J18" s="3">
        <v>45505</v>
      </c>
      <c r="K18" s="4">
        <v>14532</v>
      </c>
      <c r="L18" s="4">
        <v>12134</v>
      </c>
      <c r="M18" s="4">
        <v>122199</v>
      </c>
      <c r="N18" s="4">
        <v>14601</v>
      </c>
      <c r="O18" s="4">
        <v>12134</v>
      </c>
      <c r="P18" s="4">
        <v>122199</v>
      </c>
      <c r="Q18" s="4">
        <v>113218</v>
      </c>
      <c r="R18" s="4">
        <v>73154</v>
      </c>
      <c r="S18" s="4">
        <v>264068</v>
      </c>
      <c r="T18" s="4">
        <v>267718</v>
      </c>
      <c r="U18" s="4">
        <v>176507</v>
      </c>
      <c r="V18" s="4">
        <v>366954</v>
      </c>
      <c r="W18" s="4">
        <v>355105</v>
      </c>
      <c r="X18" s="4">
        <v>218676</v>
      </c>
      <c r="Y18" s="4">
        <v>404843</v>
      </c>
      <c r="Z18" s="5">
        <f t="shared" si="0"/>
        <v>95267.01489046542</v>
      </c>
      <c r="AA18" s="5">
        <f t="shared" si="1"/>
        <v>95267.01489046542</v>
      </c>
      <c r="AB18" s="5">
        <f t="shared" si="2"/>
        <v>205868.87035160209</v>
      </c>
      <c r="AC18" s="5">
        <f t="shared" si="3"/>
        <v>286079.363841896</v>
      </c>
      <c r="AD18" s="5">
        <f t="shared" si="4"/>
        <v>315617.83737428859</v>
      </c>
      <c r="AE18" s="5">
        <f>L18*(10000/G18)</f>
        <v>9459.7333749122936</v>
      </c>
      <c r="AF18" s="5">
        <f>K18*(10000/G18)</f>
        <v>11329.227410930069</v>
      </c>
      <c r="AG18" s="5">
        <f>O18*(10000/G18)</f>
        <v>9459.7333749122936</v>
      </c>
      <c r="AH18" s="5">
        <f>N18*(10000/G18)</f>
        <v>11383.020191782958</v>
      </c>
      <c r="AI18" s="5">
        <f>R18*(10000/G18)</f>
        <v>57031.262181336242</v>
      </c>
      <c r="AJ18" s="5">
        <f>Q18*(10000/G18)</f>
        <v>88265.377718874253</v>
      </c>
      <c r="AK18" s="5">
        <f>U18*(10000/G18)</f>
        <v>137605.83144928666</v>
      </c>
      <c r="AL18" s="6">
        <f>T18*(10000/G18)</f>
        <v>208714.43049816793</v>
      </c>
      <c r="AM18" s="5">
        <f>X18 * (10000/G18)</f>
        <v>170481.01660559757</v>
      </c>
      <c r="AN18" s="5">
        <f>W18*(10000/G18)</f>
        <v>276841.8180400717</v>
      </c>
    </row>
    <row r="19" spans="2:40" hidden="1" x14ac:dyDescent="0.2">
      <c r="B19" s="1" t="s">
        <v>29</v>
      </c>
      <c r="C19" s="2" t="s">
        <v>30</v>
      </c>
      <c r="D19" s="2">
        <v>32.183753000000003</v>
      </c>
      <c r="E19" s="2">
        <v>-101.870484</v>
      </c>
      <c r="F19" s="2" t="s">
        <v>31</v>
      </c>
      <c r="G19" s="2">
        <v>13054</v>
      </c>
      <c r="H19" s="3">
        <v>45276</v>
      </c>
      <c r="I19" s="3">
        <v>45512</v>
      </c>
      <c r="J19" s="3">
        <v>45505</v>
      </c>
      <c r="K19" s="4">
        <v>78521</v>
      </c>
      <c r="L19" s="4">
        <v>72705</v>
      </c>
      <c r="M19" s="4">
        <v>268191</v>
      </c>
      <c r="N19" s="4">
        <v>198612</v>
      </c>
      <c r="O19" s="4">
        <v>139534</v>
      </c>
      <c r="P19" s="4">
        <v>584805</v>
      </c>
      <c r="Q19" s="4">
        <v>267459</v>
      </c>
      <c r="R19" s="4">
        <v>165484</v>
      </c>
      <c r="S19" s="4">
        <v>741399</v>
      </c>
      <c r="T19" s="4">
        <v>313424</v>
      </c>
      <c r="U19" s="4">
        <v>180151</v>
      </c>
      <c r="V19" s="4">
        <v>859351</v>
      </c>
      <c r="W19" s="4">
        <v>343265</v>
      </c>
      <c r="X19" s="4">
        <v>189981</v>
      </c>
      <c r="Y19" s="4">
        <v>955756</v>
      </c>
      <c r="Z19" s="5">
        <f t="shared" si="0"/>
        <v>205447.372452888</v>
      </c>
      <c r="AA19" s="5">
        <f t="shared" si="1"/>
        <v>447989.12210816605</v>
      </c>
      <c r="AB19" s="5">
        <f t="shared" si="2"/>
        <v>567947.75547724834</v>
      </c>
      <c r="AC19" s="5">
        <f t="shared" si="3"/>
        <v>658304.73418109387</v>
      </c>
      <c r="AD19" s="5">
        <f t="shared" si="4"/>
        <v>732155.66110004589</v>
      </c>
      <c r="AE19" s="5">
        <f>L19*(10000/G19)</f>
        <v>55695.572238394358</v>
      </c>
      <c r="AF19" s="5">
        <f>K19*(10000/G19)</f>
        <v>60150.911597977625</v>
      </c>
      <c r="AG19" s="5">
        <f>O19*(10000/G19)</f>
        <v>106889.84219396353</v>
      </c>
      <c r="AH19" s="5">
        <f>N19*(10000/G19)</f>
        <v>152146.46851539757</v>
      </c>
      <c r="AI19" s="5">
        <f>R19*(10000/G19)</f>
        <v>126768.80649609314</v>
      </c>
      <c r="AJ19" s="5">
        <f>Q19*(10000/G19)</f>
        <v>204886.62478933658</v>
      </c>
      <c r="AK19" s="5">
        <f>U19*(10000/G19)</f>
        <v>138004.44308258005</v>
      </c>
      <c r="AL19" s="6">
        <f>T19*(10000/G19)</f>
        <v>240098.05423624942</v>
      </c>
      <c r="AM19" s="5">
        <f>X19 * (10000/G19)</f>
        <v>145534.70200704763</v>
      </c>
      <c r="AN19" s="5">
        <f>W19*(10000/G19)</f>
        <v>262957.71411061741</v>
      </c>
    </row>
    <row r="20" spans="2:40" x14ac:dyDescent="0.2">
      <c r="B20" s="1" t="s">
        <v>57</v>
      </c>
      <c r="C20" s="2" t="s">
        <v>58</v>
      </c>
      <c r="D20" s="2">
        <v>32.185991999999999</v>
      </c>
      <c r="E20" s="2">
        <v>-101.86110100000001</v>
      </c>
      <c r="F20" s="2" t="s">
        <v>34</v>
      </c>
      <c r="G20" s="2">
        <v>13072</v>
      </c>
      <c r="H20" s="3">
        <v>45317</v>
      </c>
      <c r="I20" s="3">
        <v>45503</v>
      </c>
      <c r="J20" s="3">
        <v>45474</v>
      </c>
      <c r="K20" s="4">
        <v>68751</v>
      </c>
      <c r="L20" s="4">
        <v>95732</v>
      </c>
      <c r="M20" s="4">
        <v>86531</v>
      </c>
      <c r="N20" s="4">
        <v>120065</v>
      </c>
      <c r="O20" s="4">
        <v>151143</v>
      </c>
      <c r="P20" s="4">
        <v>136525</v>
      </c>
      <c r="Q20" s="4">
        <v>159990</v>
      </c>
      <c r="R20" s="4">
        <v>200941</v>
      </c>
      <c r="S20" s="4">
        <v>181278</v>
      </c>
      <c r="T20" s="4">
        <v>236071</v>
      </c>
      <c r="U20" s="4">
        <v>255974</v>
      </c>
      <c r="V20" s="4">
        <v>230616</v>
      </c>
      <c r="W20" s="4">
        <v>298470</v>
      </c>
      <c r="X20" s="4">
        <v>287635</v>
      </c>
      <c r="Y20" s="4">
        <v>258915</v>
      </c>
      <c r="Z20" s="5">
        <f t="shared" si="0"/>
        <v>66195.685434516519</v>
      </c>
      <c r="AA20" s="5">
        <f t="shared" si="1"/>
        <v>104440.78947368421</v>
      </c>
      <c r="AB20" s="5">
        <f t="shared" si="2"/>
        <v>138676.5605875153</v>
      </c>
      <c r="AC20" s="5">
        <f t="shared" si="3"/>
        <v>176419.82864137087</v>
      </c>
      <c r="AD20" s="5">
        <f t="shared" si="4"/>
        <v>198068.3904528764</v>
      </c>
      <c r="AE20" s="5">
        <f>L20*(10000/G20)</f>
        <v>73234.394124847007</v>
      </c>
      <c r="AF20" s="5">
        <f>K20*(10000/G20)</f>
        <v>52594.094247246023</v>
      </c>
      <c r="AG20" s="5">
        <f>O20*(10000/G20)</f>
        <v>115623.47001223991</v>
      </c>
      <c r="AH20" s="5">
        <f>N20*(10000/G20)</f>
        <v>91848.990208078336</v>
      </c>
      <c r="AI20" s="5">
        <f>R20*(10000/G20)</f>
        <v>153718.63525091799</v>
      </c>
      <c r="AJ20" s="5">
        <f>Q20*(10000/G20)</f>
        <v>122391.37086903305</v>
      </c>
      <c r="AK20" s="5">
        <f>U20*(10000/G20)</f>
        <v>195818.5434516524</v>
      </c>
      <c r="AL20" s="6">
        <f>T20*(10000/G20)</f>
        <v>180592.87025703795</v>
      </c>
      <c r="AM20" s="5">
        <f>X20 * (10000/G20)</f>
        <v>220039.0146878825</v>
      </c>
      <c r="AN20" s="5">
        <f>W20*(10000/G20)</f>
        <v>228327.72337821298</v>
      </c>
    </row>
    <row r="21" spans="2:40" hidden="1" x14ac:dyDescent="0.2">
      <c r="B21" s="1" t="s">
        <v>43</v>
      </c>
      <c r="C21" s="2" t="s">
        <v>44</v>
      </c>
      <c r="D21" s="2">
        <v>32.184373000000001</v>
      </c>
      <c r="E21" s="2">
        <v>-101.867887</v>
      </c>
      <c r="F21" s="2" t="s">
        <v>31</v>
      </c>
      <c r="G21" s="2">
        <v>13172</v>
      </c>
      <c r="H21" s="3">
        <v>45278</v>
      </c>
      <c r="I21" s="3">
        <v>45505</v>
      </c>
      <c r="J21" s="3">
        <v>45505</v>
      </c>
      <c r="K21" s="4">
        <v>80563</v>
      </c>
      <c r="L21" s="4">
        <v>92333</v>
      </c>
      <c r="M21" s="4">
        <v>118395</v>
      </c>
      <c r="N21" s="4">
        <v>138062</v>
      </c>
      <c r="O21" s="4">
        <v>131655</v>
      </c>
      <c r="P21" s="4">
        <v>169762</v>
      </c>
      <c r="Q21" s="4">
        <v>185615</v>
      </c>
      <c r="R21" s="4">
        <v>159818</v>
      </c>
      <c r="S21" s="4">
        <v>209886</v>
      </c>
      <c r="T21" s="4">
        <v>220792</v>
      </c>
      <c r="U21" s="4">
        <v>174974</v>
      </c>
      <c r="V21" s="4">
        <v>233453</v>
      </c>
      <c r="W21" s="4">
        <v>244020</v>
      </c>
      <c r="X21" s="4">
        <v>183080</v>
      </c>
      <c r="Y21" s="4">
        <v>247005</v>
      </c>
      <c r="Z21" s="5">
        <f t="shared" si="0"/>
        <v>89883.844518675978</v>
      </c>
      <c r="AA21" s="5">
        <f t="shared" si="1"/>
        <v>128880.9596112967</v>
      </c>
      <c r="AB21" s="5">
        <f t="shared" si="2"/>
        <v>159342.544791983</v>
      </c>
      <c r="AC21" s="5">
        <f t="shared" si="3"/>
        <v>177234.28484664441</v>
      </c>
      <c r="AD21" s="5">
        <f t="shared" si="4"/>
        <v>187522.77558457333</v>
      </c>
      <c r="AE21" s="5">
        <f>L21*(10000/G21)</f>
        <v>70097.935013665352</v>
      </c>
      <c r="AF21" s="5">
        <f>K21*(10000/G21)</f>
        <v>61162.313999392652</v>
      </c>
      <c r="AG21" s="5">
        <f>O21*(10000/G21)</f>
        <v>99950.65290009111</v>
      </c>
      <c r="AH21" s="5">
        <f>N21*(10000/G21)</f>
        <v>104814.75857880352</v>
      </c>
      <c r="AI21" s="5">
        <f>R21*(10000/G21)</f>
        <v>121331.61251138779</v>
      </c>
      <c r="AJ21" s="5">
        <f>Q21*(10000/G21)</f>
        <v>140916.33768600062</v>
      </c>
      <c r="AK21" s="5">
        <f>U21*(10000/G21)</f>
        <v>132837.83783783784</v>
      </c>
      <c r="AL21" s="6">
        <f>T21*(10000/G21)</f>
        <v>167622.22897054357</v>
      </c>
      <c r="AM21" s="5">
        <f>X21 * (10000/G21)</f>
        <v>138991.80078955361</v>
      </c>
      <c r="AN21" s="5">
        <f>W21*(10000/G21)</f>
        <v>185256.60491952626</v>
      </c>
    </row>
    <row r="22" spans="2:40" hidden="1" x14ac:dyDescent="0.2">
      <c r="B22" s="1" t="s">
        <v>61</v>
      </c>
      <c r="C22" s="2" t="s">
        <v>62</v>
      </c>
      <c r="D22" s="2">
        <v>32.185484000000002</v>
      </c>
      <c r="E22" s="2">
        <v>-101.863231</v>
      </c>
      <c r="F22" s="2" t="s">
        <v>31</v>
      </c>
      <c r="G22" s="2">
        <v>12800</v>
      </c>
      <c r="H22" s="3">
        <v>45298</v>
      </c>
      <c r="I22" s="3">
        <v>45502</v>
      </c>
      <c r="J22" s="3">
        <v>45474</v>
      </c>
      <c r="K22" s="4">
        <v>48535</v>
      </c>
      <c r="L22" s="4">
        <v>56019</v>
      </c>
      <c r="M22" s="4">
        <v>134273</v>
      </c>
      <c r="N22" s="4">
        <v>96035</v>
      </c>
      <c r="O22" s="4">
        <v>86639</v>
      </c>
      <c r="P22" s="4">
        <v>204747</v>
      </c>
      <c r="Q22" s="4">
        <v>130981</v>
      </c>
      <c r="R22" s="4">
        <v>110651</v>
      </c>
      <c r="S22" s="4">
        <v>258797</v>
      </c>
      <c r="T22" s="4">
        <v>175945</v>
      </c>
      <c r="U22" s="4">
        <v>136948</v>
      </c>
      <c r="V22" s="4">
        <v>317096</v>
      </c>
      <c r="W22" s="4">
        <v>216398</v>
      </c>
      <c r="X22" s="4">
        <v>153761</v>
      </c>
      <c r="Y22" s="4">
        <v>353670</v>
      </c>
      <c r="Z22" s="5">
        <f t="shared" si="0"/>
        <v>104900.78125</v>
      </c>
      <c r="AA22" s="5">
        <f t="shared" si="1"/>
        <v>159958.59375</v>
      </c>
      <c r="AB22" s="5">
        <f t="shared" si="2"/>
        <v>202185.15625</v>
      </c>
      <c r="AC22" s="5">
        <f t="shared" si="3"/>
        <v>247731.25</v>
      </c>
      <c r="AD22" s="5">
        <f t="shared" si="4"/>
        <v>276304.6875</v>
      </c>
      <c r="AE22" s="5">
        <f>L22*(10000/G22)</f>
        <v>43764.84375</v>
      </c>
      <c r="AF22" s="5">
        <f>K22*(10000/G22)</f>
        <v>37917.96875</v>
      </c>
      <c r="AG22" s="5">
        <f>O22*(10000/G22)</f>
        <v>67686.71875</v>
      </c>
      <c r="AH22" s="5">
        <f>N22*(10000/G22)</f>
        <v>75027.34375</v>
      </c>
      <c r="AI22" s="5">
        <f>R22*(10000/G22)</f>
        <v>86446.09375</v>
      </c>
      <c r="AJ22" s="5">
        <f>Q22*(10000/G22)</f>
        <v>102328.90625</v>
      </c>
      <c r="AK22" s="5">
        <f>U22*(10000/G22)</f>
        <v>106990.625</v>
      </c>
      <c r="AL22" s="6">
        <f>T22*(10000/G22)</f>
        <v>137457.03125</v>
      </c>
      <c r="AM22" s="5">
        <f>X22 * (10000/G22)</f>
        <v>120125.78125</v>
      </c>
      <c r="AN22" s="5">
        <f>W22*(10000/G22)</f>
        <v>169060.9375</v>
      </c>
    </row>
    <row r="23" spans="2:40" x14ac:dyDescent="0.2">
      <c r="B23" s="1" t="s">
        <v>55</v>
      </c>
      <c r="C23" s="2" t="s">
        <v>56</v>
      </c>
      <c r="D23" s="2">
        <v>32.185501000000002</v>
      </c>
      <c r="E23" s="2">
        <v>-101.86315399999999</v>
      </c>
      <c r="F23" s="2" t="s">
        <v>23</v>
      </c>
      <c r="G23" s="2">
        <v>12898</v>
      </c>
      <c r="H23" s="3">
        <v>45295</v>
      </c>
      <c r="I23" s="3">
        <v>45496</v>
      </c>
      <c r="J23" s="3">
        <v>45474</v>
      </c>
      <c r="K23" s="4">
        <v>45110</v>
      </c>
      <c r="L23" s="4">
        <v>61144</v>
      </c>
      <c r="M23" s="4">
        <v>91185</v>
      </c>
      <c r="N23" s="4">
        <v>88377</v>
      </c>
      <c r="O23" s="4">
        <v>94949</v>
      </c>
      <c r="P23" s="4">
        <v>141608</v>
      </c>
      <c r="Q23" s="4">
        <v>120084</v>
      </c>
      <c r="R23" s="4">
        <v>120561</v>
      </c>
      <c r="S23" s="4">
        <v>179821</v>
      </c>
      <c r="T23" s="4">
        <v>160769</v>
      </c>
      <c r="U23" s="4">
        <v>147955</v>
      </c>
      <c r="V23" s="4">
        <v>220704</v>
      </c>
      <c r="W23" s="4">
        <v>197255</v>
      </c>
      <c r="X23" s="4">
        <v>164963</v>
      </c>
      <c r="Y23" s="4">
        <v>246092</v>
      </c>
      <c r="Z23" s="5">
        <f t="shared" si="0"/>
        <v>70697.007287951623</v>
      </c>
      <c r="AA23" s="5">
        <f t="shared" si="1"/>
        <v>109790.66521941386</v>
      </c>
      <c r="AB23" s="5">
        <f t="shared" si="2"/>
        <v>139417.73918436968</v>
      </c>
      <c r="AC23" s="5">
        <f t="shared" si="3"/>
        <v>171114.90153512172</v>
      </c>
      <c r="AD23" s="5">
        <f t="shared" si="4"/>
        <v>190798.57342223602</v>
      </c>
      <c r="AE23" s="5">
        <f>L23*(10000/G23)</f>
        <v>47405.79934873624</v>
      </c>
      <c r="AF23" s="5">
        <f>K23*(10000/G23)</f>
        <v>34974.414637928363</v>
      </c>
      <c r="AG23" s="5">
        <f>O23*(10000/G23)</f>
        <v>73615.289192122815</v>
      </c>
      <c r="AH23" s="5">
        <f>N23*(10000/G23)</f>
        <v>68519.925569855797</v>
      </c>
      <c r="AI23" s="5">
        <f>R23*(10000/G23)</f>
        <v>93472.631415723372</v>
      </c>
      <c r="AJ23" s="5">
        <f>Q23*(10000/G23)</f>
        <v>93102.806636687863</v>
      </c>
      <c r="AK23" s="5">
        <f>U23*(10000/G23)</f>
        <v>114711.58319119243</v>
      </c>
      <c r="AL23" s="6">
        <f>T23*(10000/G23)</f>
        <v>124646.45681501008</v>
      </c>
      <c r="AM23" s="5">
        <f>X23 * (10000/G23)</f>
        <v>127898.12374011475</v>
      </c>
      <c r="AN23" s="5">
        <f>W23*(10000/G23)</f>
        <v>152934.56349821677</v>
      </c>
    </row>
    <row r="24" spans="2:40" hidden="1" x14ac:dyDescent="0.2">
      <c r="W24" s="7" t="s">
        <v>80</v>
      </c>
    </row>
  </sheetData>
  <autoFilter ref="F2:F24" xr:uid="{7BCD483E-A7E3-B241-93DA-C7F3B3A37816}">
    <filterColumn colId="0">
      <filters>
        <filter val="WOLFCAMP A"/>
        <filter val="WOLFCAMP B UPP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Prod.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 Kemick</dc:creator>
  <cp:lastModifiedBy>Sean H Kemick</cp:lastModifiedBy>
  <dcterms:created xsi:type="dcterms:W3CDTF">2025-11-29T15:26:33Z</dcterms:created>
  <dcterms:modified xsi:type="dcterms:W3CDTF">2025-11-29T16:33:16Z</dcterms:modified>
</cp:coreProperties>
</file>